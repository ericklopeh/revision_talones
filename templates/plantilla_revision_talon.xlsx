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STEMAS\Desktop\"/>
    </mc:Choice>
  </mc:AlternateContent>
  <xr:revisionPtr revIDLastSave="0" documentId="13_ncr:1_{938014BA-A31F-428B-8BCD-77FC722B5465}" xr6:coauthVersionLast="47" xr6:coauthVersionMax="47" xr10:uidLastSave="{00000000-0000-0000-0000-000000000000}"/>
  <bookViews>
    <workbookView xWindow="28680" yWindow="-120" windowWidth="29040" windowHeight="15720" xr2:uid="{9D8D8FC2-B6F2-4EC7-A97A-0A22A82F1D6E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2" l="1"/>
  <c r="A15" i="1"/>
  <c r="A14" i="1"/>
  <c r="A13" i="1"/>
  <c r="A12" i="1"/>
  <c r="A11" i="1"/>
  <c r="A10" i="1"/>
  <c r="A9" i="1"/>
  <c r="A8" i="1"/>
  <c r="A7" i="1"/>
  <c r="A6" i="1"/>
  <c r="A2" i="3"/>
  <c r="B31" i="2"/>
  <c r="A31" i="2"/>
  <c r="A30" i="2"/>
  <c r="B29" i="2"/>
  <c r="A29" i="2"/>
  <c r="B28" i="2"/>
  <c r="A28" i="2"/>
  <c r="B27" i="2"/>
  <c r="A27" i="2"/>
  <c r="B26" i="2"/>
  <c r="A26" i="2"/>
  <c r="B25" i="2"/>
  <c r="A25" i="2"/>
  <c r="B24" i="2"/>
  <c r="A24" i="2"/>
  <c r="B23" i="2"/>
  <c r="A23" i="2"/>
  <c r="B22" i="2"/>
  <c r="A22" i="2"/>
  <c r="B21" i="2"/>
  <c r="B7" i="1" s="1"/>
  <c r="A21" i="2"/>
  <c r="B20" i="2"/>
  <c r="B6" i="1" s="1"/>
  <c r="A20" i="2"/>
  <c r="P18" i="2"/>
  <c r="N18" i="2"/>
  <c r="L18" i="2"/>
  <c r="J18" i="2"/>
  <c r="H18" i="2"/>
  <c r="F18" i="2"/>
  <c r="D18" i="2"/>
  <c r="C17" i="2"/>
  <c r="E17" i="2" s="1"/>
  <c r="G17" i="2" s="1"/>
  <c r="I17" i="2" s="1"/>
  <c r="K17" i="2" s="1"/>
  <c r="M17" i="2" s="1"/>
  <c r="O17" i="2" s="1"/>
  <c r="C16" i="2"/>
  <c r="E16" i="2" s="1"/>
  <c r="G16" i="2" s="1"/>
  <c r="I16" i="2" s="1"/>
  <c r="K16" i="2" s="1"/>
  <c r="M16" i="2" s="1"/>
  <c r="O16" i="2" s="1"/>
  <c r="C15" i="2"/>
  <c r="E15" i="2" s="1"/>
  <c r="G15" i="2" s="1"/>
  <c r="I15" i="2" s="1"/>
  <c r="K15" i="2" s="1"/>
  <c r="M15" i="2" s="1"/>
  <c r="O15" i="2" s="1"/>
  <c r="C14" i="2"/>
  <c r="E14" i="2" s="1"/>
  <c r="G14" i="2" s="1"/>
  <c r="I14" i="2" s="1"/>
  <c r="K14" i="2" s="1"/>
  <c r="M14" i="2" s="1"/>
  <c r="O14" i="2" s="1"/>
  <c r="C13" i="2"/>
  <c r="E13" i="2" s="1"/>
  <c r="G13" i="2" s="1"/>
  <c r="I13" i="2" s="1"/>
  <c r="K13" i="2" s="1"/>
  <c r="M13" i="2" s="1"/>
  <c r="O13" i="2" s="1"/>
  <c r="C12" i="2"/>
  <c r="E12" i="2" s="1"/>
  <c r="G12" i="2" s="1"/>
  <c r="I12" i="2" s="1"/>
  <c r="K12" i="2" s="1"/>
  <c r="M12" i="2" s="1"/>
  <c r="O12" i="2" s="1"/>
  <c r="C11" i="2"/>
  <c r="E11" i="2" s="1"/>
  <c r="G11" i="2" s="1"/>
  <c r="I11" i="2" s="1"/>
  <c r="K11" i="2" s="1"/>
  <c r="M11" i="2" s="1"/>
  <c r="O11" i="2" s="1"/>
  <c r="C10" i="2"/>
  <c r="E10" i="2" s="1"/>
  <c r="G10" i="2" s="1"/>
  <c r="I10" i="2" s="1"/>
  <c r="K10" i="2" s="1"/>
  <c r="M10" i="2" s="1"/>
  <c r="O10" i="2" s="1"/>
  <c r="C9" i="2"/>
  <c r="E9" i="2" s="1"/>
  <c r="G9" i="2" s="1"/>
  <c r="I9" i="2" s="1"/>
  <c r="K9" i="2" s="1"/>
  <c r="M9" i="2" s="1"/>
  <c r="O9" i="2" s="1"/>
  <c r="C8" i="2"/>
  <c r="E8" i="2" s="1"/>
  <c r="G8" i="2" s="1"/>
  <c r="I8" i="2" s="1"/>
  <c r="K8" i="2" s="1"/>
  <c r="M8" i="2" s="1"/>
  <c r="O8" i="2" s="1"/>
  <c r="C7" i="2"/>
  <c r="E7" i="2" s="1"/>
  <c r="G7" i="2" s="1"/>
  <c r="I7" i="2" s="1"/>
  <c r="K7" i="2" s="1"/>
  <c r="M7" i="2" s="1"/>
  <c r="O7" i="2" s="1"/>
  <c r="C6" i="2"/>
  <c r="E6" i="2" s="1"/>
  <c r="G6" i="2" s="1"/>
  <c r="I6" i="2" s="1"/>
  <c r="K6" i="2" s="1"/>
  <c r="M6" i="2" s="1"/>
  <c r="O6" i="2" s="1"/>
  <c r="B40" i="1"/>
  <c r="B35" i="1"/>
  <c r="B33" i="1"/>
  <c r="B32" i="1"/>
  <c r="B31" i="1"/>
  <c r="D25" i="1"/>
  <c r="B25" i="1"/>
  <c r="E16" i="1" l="1"/>
  <c r="C6" i="1"/>
  <c r="E7" i="1" l="1"/>
  <c r="D15" i="1" s="1"/>
  <c r="D28" i="1" s="1"/>
  <c r="B34" i="1" s="1"/>
  <c r="E8" i="1"/>
  <c r="E10" i="1" s="1"/>
  <c r="D12" i="1" s="1"/>
  <c r="B28" i="1" s="1"/>
</calcChain>
</file>

<file path=xl/sharedStrings.xml><?xml version="1.0" encoding="utf-8"?>
<sst xmlns="http://schemas.openxmlformats.org/spreadsheetml/2006/main" count="74" uniqueCount="57">
  <si>
    <t xml:space="preserve">REVISION DE TALON DE CHEQUES </t>
  </si>
  <si>
    <t>MAESTRO</t>
  </si>
  <si>
    <t>RFC</t>
  </si>
  <si>
    <t>NOMBRE</t>
  </si>
  <si>
    <t xml:space="preserve"> QNA TALON</t>
  </si>
  <si>
    <t>FECHA TALON</t>
  </si>
  <si>
    <t>INGRESOS</t>
  </si>
  <si>
    <t>DEDUCCIONES</t>
  </si>
  <si>
    <t>DESCUENTOS</t>
  </si>
  <si>
    <t>SALDO</t>
  </si>
  <si>
    <t>TOTAL PARA VENTA 70%</t>
  </si>
  <si>
    <t>SALDO AL 70%</t>
  </si>
  <si>
    <t>SALDO MAS ABONOS AL 70%</t>
  </si>
  <si>
    <t>SALDO MAS ABONO A TERMINAR AL 100</t>
  </si>
  <si>
    <t>DC TALON</t>
  </si>
  <si>
    <t>DC SISTEMA</t>
  </si>
  <si>
    <t>VENDEDOR</t>
  </si>
  <si>
    <t xml:space="preserve">RECUPERACIÓN   (Abonos a Liquidar) </t>
  </si>
  <si>
    <t>VENTA(entrante o en relcmacion)</t>
  </si>
  <si>
    <t>FOLIO</t>
  </si>
  <si>
    <t>Total a Recuperar</t>
  </si>
  <si>
    <t>Total a VENDER</t>
  </si>
  <si>
    <t>SALDO AL 70</t>
  </si>
  <si>
    <t>SALDO AL 100</t>
  </si>
  <si>
    <t>REVISION DEL CLIENTE</t>
  </si>
  <si>
    <t>PROMOTOR</t>
  </si>
  <si>
    <t>NOMBRE:</t>
  </si>
  <si>
    <t>RFC:</t>
  </si>
  <si>
    <t>LIQUIDEZ</t>
  </si>
  <si>
    <t>QNA</t>
  </si>
  <si>
    <t>COMENTARIO</t>
  </si>
  <si>
    <t>FECHA</t>
  </si>
  <si>
    <t>CONCEPTOS DE INGRESOS PARA CALCULAR LA CAPACIDAD DE PAGO</t>
  </si>
  <si>
    <t>D=DESCUENTOS</t>
  </si>
  <si>
    <t>DEFICINION DE DESCUENTOS</t>
  </si>
  <si>
    <t>07= SUELDO</t>
  </si>
  <si>
    <t>A,Q=QUINQUENIO</t>
  </si>
  <si>
    <t>E9=ASIGNACION DOCENTE</t>
  </si>
  <si>
    <t>E3,E4=ARRAIGO</t>
  </si>
  <si>
    <t>CP=COMPENSASION PROV</t>
  </si>
  <si>
    <t>CT= COMPENSASION TEM</t>
  </si>
  <si>
    <t>CODIGO</t>
  </si>
  <si>
    <t>ABONOS</t>
  </si>
  <si>
    <t>E4</t>
  </si>
  <si>
    <t>E3</t>
  </si>
  <si>
    <t>Q</t>
  </si>
  <si>
    <t>CP</t>
  </si>
  <si>
    <t>CT</t>
  </si>
  <si>
    <t>7B</t>
  </si>
  <si>
    <t>E9</t>
  </si>
  <si>
    <t>SG</t>
  </si>
  <si>
    <t>O1</t>
  </si>
  <si>
    <t>D</t>
  </si>
  <si>
    <t>DC</t>
  </si>
  <si>
    <t>total</t>
  </si>
  <si>
    <t>TOTAL</t>
  </si>
  <si>
    <t>09-2026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</si>
</sst>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;[Red]\-&quot;$&quot;#,##0.00"/>
    <numFmt numFmtId="44" formatCode="_-&quot;$&quot;* #,##0.00_-;\-&quot;$&quot;* #,##0.00_-;_-&quot;$&quot;* &quot;-&quot;??_-;_-@_-"/>
    <numFmt numFmtId="164" formatCode="#,##0.00;[Red]#,##0.00"/>
    <numFmt numFmtId="165" formatCode="&quot;$&quot;#,##0.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name val="Arial"/>
      <family val="2"/>
    </font>
    <font>
      <b/>
      <sz val="11"/>
      <name val="Arial"/>
      <family val="2"/>
    </font>
    <font>
      <b/>
      <sz val="8"/>
      <name val="Arial"/>
      <family val="2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4"/>
      <color rgb="FF404041"/>
      <name val="Times New Roman"/>
      <family val="1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1">
    <xf numFmtId="0" fontId="0" fillId="0" borderId="0" xfId="0"/>
    <xf numFmtId="0" fontId="3" fillId="0" borderId="6" xfId="0" applyFont="1" applyBorder="1" applyAlignment="1" applyProtection="1">
      <alignment horizontal="center" vertical="center" wrapText="1"/>
      <protection hidden="1"/>
    </xf>
    <xf numFmtId="0" fontId="3" fillId="0" borderId="7" xfId="0" applyFont="1" applyBorder="1" applyAlignment="1" applyProtection="1">
      <alignment horizontal="center" vertical="center" wrapText="1"/>
      <protection locked="0"/>
    </xf>
    <xf numFmtId="49" fontId="3" fillId="0" borderId="7" xfId="0" applyNumberFormat="1" applyFont="1" applyBorder="1" applyAlignment="1" applyProtection="1">
      <alignment vertical="center"/>
      <protection locked="0"/>
    </xf>
    <xf numFmtId="14" fontId="5" fillId="0" borderId="10" xfId="0" applyNumberFormat="1" applyFont="1" applyBorder="1" applyAlignment="1">
      <alignment vertical="center"/>
    </xf>
    <xf numFmtId="14" fontId="5" fillId="0" borderId="10" xfId="0" applyNumberFormat="1" applyFont="1" applyBorder="1" applyAlignment="1" applyProtection="1">
      <alignment vertical="center"/>
      <protection locked="0"/>
    </xf>
    <xf numFmtId="0" fontId="3" fillId="0" borderId="14" xfId="0" applyFont="1" applyBorder="1" applyAlignment="1" applyProtection="1">
      <alignment horizontal="center" vertical="center"/>
      <protection hidden="1"/>
    </xf>
    <xf numFmtId="165" fontId="3" fillId="0" borderId="15" xfId="1" applyNumberFormat="1" applyFont="1" applyFill="1" applyBorder="1" applyAlignment="1" applyProtection="1">
      <alignment horizontal="right" vertical="center"/>
      <protection hidden="1"/>
    </xf>
    <xf numFmtId="0" fontId="0" fillId="0" borderId="14" xfId="0" applyBorder="1"/>
    <xf numFmtId="165" fontId="0" fillId="0" borderId="16" xfId="1" applyNumberFormat="1" applyFont="1" applyBorder="1"/>
    <xf numFmtId="165" fontId="0" fillId="0" borderId="16" xfId="0" applyNumberFormat="1" applyBorder="1"/>
    <xf numFmtId="165" fontId="0" fillId="0" borderId="0" xfId="0" applyNumberFormat="1"/>
    <xf numFmtId="10" fontId="0" fillId="0" borderId="0" xfId="2" applyNumberFormat="1" applyFont="1"/>
    <xf numFmtId="164" fontId="0" fillId="0" borderId="0" xfId="0" applyNumberFormat="1"/>
    <xf numFmtId="0" fontId="0" fillId="0" borderId="19" xfId="0" applyBorder="1"/>
    <xf numFmtId="44" fontId="0" fillId="0" borderId="20" xfId="1" applyFont="1" applyBorder="1"/>
    <xf numFmtId="0" fontId="0" fillId="0" borderId="20" xfId="0" applyBorder="1"/>
    <xf numFmtId="8" fontId="0" fillId="0" borderId="21" xfId="1" applyNumberFormat="1" applyFont="1" applyBorder="1" applyProtection="1">
      <protection locked="0"/>
    </xf>
    <xf numFmtId="44" fontId="0" fillId="0" borderId="0" xfId="0" applyNumberFormat="1"/>
    <xf numFmtId="0" fontId="8" fillId="0" borderId="22" xfId="0" applyFont="1" applyBorder="1" applyAlignment="1" applyProtection="1">
      <alignment vertical="center" wrapText="1"/>
      <protection hidden="1"/>
    </xf>
    <xf numFmtId="8" fontId="0" fillId="0" borderId="0" xfId="0" applyNumberFormat="1"/>
    <xf numFmtId="0" fontId="3" fillId="0" borderId="11" xfId="0" applyFont="1" applyBorder="1" applyAlignment="1" applyProtection="1">
      <alignment vertical="center" wrapText="1"/>
      <protection hidden="1"/>
    </xf>
    <xf numFmtId="0" fontId="3" fillId="0" borderId="12" xfId="0" applyFont="1" applyBorder="1" applyAlignment="1" applyProtection="1">
      <alignment vertical="center" wrapText="1"/>
      <protection hidden="1"/>
    </xf>
    <xf numFmtId="0" fontId="3" fillId="0" borderId="13" xfId="0" applyFont="1" applyBorder="1" applyAlignment="1" applyProtection="1">
      <alignment vertical="center" wrapText="1"/>
      <protection hidden="1"/>
    </xf>
    <xf numFmtId="49" fontId="3" fillId="0" borderId="14" xfId="0" applyNumberFormat="1" applyFont="1" applyBorder="1" applyAlignment="1" applyProtection="1">
      <alignment horizontal="center" vertical="center"/>
      <protection locked="0"/>
    </xf>
    <xf numFmtId="44" fontId="2" fillId="0" borderId="15" xfId="1" applyFont="1" applyBorder="1" applyAlignment="1" applyProtection="1">
      <alignment horizontal="center"/>
      <protection locked="0"/>
    </xf>
    <xf numFmtId="49" fontId="3" fillId="0" borderId="15" xfId="0" applyNumberFormat="1" applyFont="1" applyBorder="1" applyAlignment="1" applyProtection="1">
      <alignment horizontal="center" vertical="center"/>
      <protection locked="0"/>
    </xf>
    <xf numFmtId="44" fontId="2" fillId="0" borderId="16" xfId="1" applyFont="1" applyBorder="1" applyAlignment="1" applyProtection="1">
      <alignment horizontal="center"/>
      <protection locked="0"/>
    </xf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31" xfId="0" applyBorder="1"/>
    <xf numFmtId="0" fontId="0" fillId="0" borderId="13" xfId="0" applyBorder="1"/>
    <xf numFmtId="49" fontId="3" fillId="0" borderId="33" xfId="0" applyNumberFormat="1" applyFont="1" applyBorder="1" applyAlignment="1" applyProtection="1">
      <alignment vertical="center" wrapText="1"/>
      <protection hidden="1"/>
    </xf>
    <xf numFmtId="49" fontId="0" fillId="0" borderId="0" xfId="0" applyNumberFormat="1"/>
    <xf numFmtId="0" fontId="3" fillId="0" borderId="15" xfId="0" applyFont="1" applyBorder="1" applyAlignment="1" applyProtection="1">
      <alignment horizontal="center" vertical="center"/>
      <protection hidden="1"/>
    </xf>
    <xf numFmtId="0" fontId="0" fillId="0" borderId="0" xfId="0" applyProtection="1">
      <protection locked="0"/>
    </xf>
    <xf numFmtId="0" fontId="0" fillId="0" borderId="15" xfId="0" applyBorder="1"/>
    <xf numFmtId="0" fontId="3" fillId="0" borderId="36" xfId="0" applyFont="1" applyBorder="1" applyAlignment="1" applyProtection="1">
      <alignment horizontal="center" vertical="center"/>
      <protection hidden="1"/>
    </xf>
    <xf numFmtId="4" fontId="0" fillId="0" borderId="0" xfId="0" applyNumberFormat="1" applyProtection="1">
      <protection locked="0"/>
    </xf>
    <xf numFmtId="0" fontId="3" fillId="0" borderId="0" xfId="0" applyFont="1" applyAlignment="1" applyProtection="1">
      <alignment horizontal="center" vertical="center"/>
      <protection hidden="1"/>
    </xf>
    <xf numFmtId="4" fontId="12" fillId="0" borderId="0" xfId="0" applyNumberFormat="1" applyFont="1"/>
    <xf numFmtId="0" fontId="13" fillId="0" borderId="0" xfId="0" applyFont="1"/>
    <xf numFmtId="49" fontId="0" fillId="0" borderId="26" xfId="0" applyNumberFormat="1" applyBorder="1" applyAlignment="1">
      <alignment horizontal="center" vertical="center" wrapText="1"/>
    </xf>
    <xf numFmtId="44" fontId="0" fillId="0" borderId="27" xfId="0" applyNumberForma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14" fontId="0" fillId="0" borderId="15" xfId="0" applyNumberFormat="1" applyBorder="1" applyAlignment="1">
      <alignment horizontal="center"/>
    </xf>
    <xf numFmtId="165" fontId="0" fillId="0" borderId="7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0" fontId="0" fillId="0" borderId="1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44" fontId="0" fillId="0" borderId="15" xfId="0" applyNumberFormat="1" applyBorder="1" applyAlignment="1">
      <alignment horizontal="center" vertical="center" wrapText="1"/>
    </xf>
    <xf numFmtId="0" fontId="3" fillId="0" borderId="23" xfId="0" applyFont="1" applyBorder="1" applyAlignment="1" applyProtection="1">
      <alignment horizontal="center" vertical="center" wrapText="1"/>
      <protection hidden="1"/>
    </xf>
    <xf numFmtId="0" fontId="3" fillId="0" borderId="24" xfId="0" applyFont="1" applyBorder="1" applyAlignment="1" applyProtection="1">
      <alignment horizontal="center" vertical="center" wrapText="1"/>
      <protection hidden="1"/>
    </xf>
    <xf numFmtId="0" fontId="3" fillId="0" borderId="18" xfId="0" applyFont="1" applyBorder="1" applyAlignment="1" applyProtection="1">
      <alignment horizontal="center" vertical="center" wrapText="1"/>
      <protection hidden="1"/>
    </xf>
    <xf numFmtId="0" fontId="3" fillId="0" borderId="7" xfId="0" applyFont="1" applyBorder="1" applyAlignment="1" applyProtection="1">
      <alignment horizontal="center" vertical="center" wrapText="1"/>
      <protection hidden="1"/>
    </xf>
    <xf numFmtId="0" fontId="3" fillId="0" borderId="12" xfId="0" applyFont="1" applyBorder="1" applyAlignment="1" applyProtection="1">
      <alignment horizontal="center" vertical="center" wrapText="1"/>
      <protection hidden="1"/>
    </xf>
    <xf numFmtId="0" fontId="3" fillId="0" borderId="13" xfId="0" applyFont="1" applyBorder="1" applyAlignment="1" applyProtection="1">
      <alignment horizontal="center" vertical="center" wrapText="1"/>
      <protection hidden="1"/>
    </xf>
    <xf numFmtId="0" fontId="3" fillId="0" borderId="10" xfId="0" applyFont="1" applyBorder="1" applyAlignment="1" applyProtection="1">
      <alignment horizontal="center" vertical="center" wrapText="1"/>
      <protection hidden="1"/>
    </xf>
    <xf numFmtId="0" fontId="9" fillId="0" borderId="25" xfId="0" applyFont="1" applyBorder="1" applyAlignment="1">
      <alignment horizontal="center" vertical="center" textRotation="255"/>
    </xf>
    <xf numFmtId="164" fontId="3" fillId="0" borderId="14" xfId="0" applyNumberFormat="1" applyFont="1" applyBorder="1" applyAlignment="1" applyProtection="1">
      <alignment horizontal="center" vertical="center"/>
      <protection hidden="1"/>
    </xf>
    <xf numFmtId="0" fontId="0" fillId="0" borderId="15" xfId="0" applyBorder="1" applyAlignment="1" applyProtection="1">
      <alignment horizontal="center" vertical="center"/>
      <protection hidden="1"/>
    </xf>
    <xf numFmtId="164" fontId="3" fillId="0" borderId="15" xfId="0" applyNumberFormat="1" applyFont="1" applyBorder="1" applyAlignment="1" applyProtection="1">
      <alignment horizontal="center" vertical="center"/>
      <protection hidden="1"/>
    </xf>
    <xf numFmtId="0" fontId="0" fillId="0" borderId="16" xfId="0" applyBorder="1" applyAlignment="1" applyProtection="1">
      <alignment horizontal="center" vertical="center"/>
      <protection hidden="1"/>
    </xf>
    <xf numFmtId="165" fontId="3" fillId="0" borderId="14" xfId="0" applyNumberFormat="1" applyFont="1" applyBorder="1" applyAlignment="1" applyProtection="1">
      <alignment horizontal="center" vertical="center"/>
      <protection hidden="1"/>
    </xf>
    <xf numFmtId="165" fontId="0" fillId="0" borderId="15" xfId="0" applyNumberFormat="1" applyBorder="1" applyAlignment="1" applyProtection="1">
      <alignment horizontal="center" vertical="center"/>
      <protection hidden="1"/>
    </xf>
    <xf numFmtId="165" fontId="0" fillId="0" borderId="14" xfId="0" applyNumberFormat="1" applyBorder="1" applyAlignment="1" applyProtection="1">
      <alignment horizontal="center" vertical="center"/>
      <protection hidden="1"/>
    </xf>
    <xf numFmtId="165" fontId="3" fillId="0" borderId="15" xfId="0" applyNumberFormat="1" applyFont="1" applyBorder="1" applyAlignment="1" applyProtection="1">
      <alignment horizontal="center" vertical="center"/>
      <protection hidden="1"/>
    </xf>
    <xf numFmtId="165" fontId="0" fillId="0" borderId="16" xfId="0" applyNumberFormat="1" applyBorder="1" applyAlignment="1" applyProtection="1">
      <alignment horizontal="center" vertical="center"/>
      <protection hidden="1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165" fontId="0" fillId="0" borderId="18" xfId="0" applyNumberFormat="1" applyBorder="1" applyAlignment="1">
      <alignment horizontal="center"/>
    </xf>
    <xf numFmtId="165" fontId="7" fillId="0" borderId="16" xfId="1" applyNumberFormat="1" applyFont="1" applyFill="1" applyBorder="1" applyAlignment="1" applyProtection="1">
      <alignment horizontal="center" vertical="center"/>
      <protection hidden="1"/>
    </xf>
    <xf numFmtId="165" fontId="7" fillId="0" borderId="17" xfId="1" applyNumberFormat="1" applyFont="1" applyFill="1" applyBorder="1" applyAlignment="1" applyProtection="1">
      <alignment horizontal="center" vertical="center"/>
      <protection hidden="1"/>
    </xf>
    <xf numFmtId="0" fontId="0" fillId="0" borderId="14" xfId="0" applyBorder="1" applyAlignment="1">
      <alignment horizontal="center" wrapText="1"/>
    </xf>
    <xf numFmtId="165" fontId="0" fillId="0" borderId="16" xfId="1" applyNumberFormat="1" applyFont="1" applyBorder="1" applyAlignment="1">
      <alignment horizontal="center" vertical="center" wrapText="1"/>
    </xf>
    <xf numFmtId="165" fontId="0" fillId="0" borderId="14" xfId="0" applyNumberFormat="1" applyBorder="1" applyAlignment="1">
      <alignment horizontal="center"/>
    </xf>
    <xf numFmtId="165" fontId="0" fillId="0" borderId="16" xfId="0" applyNumberFormat="1" applyBorder="1" applyAlignment="1">
      <alignment horizontal="center"/>
    </xf>
    <xf numFmtId="0" fontId="0" fillId="0" borderId="16" xfId="0" applyBorder="1" applyAlignment="1">
      <alignment horizontal="center" wrapText="1"/>
    </xf>
    <xf numFmtId="0" fontId="3" fillId="0" borderId="1" xfId="0" applyFont="1" applyBorder="1" applyAlignment="1" applyProtection="1">
      <alignment horizontal="center" vertical="center" wrapText="1"/>
      <protection hidden="1"/>
    </xf>
    <xf numFmtId="0" fontId="3" fillId="0" borderId="2" xfId="0" applyFont="1" applyBorder="1" applyAlignment="1" applyProtection="1">
      <alignment horizontal="center" vertical="center" wrapText="1"/>
      <protection hidden="1"/>
    </xf>
    <xf numFmtId="0" fontId="3" fillId="0" borderId="3" xfId="0" applyFont="1" applyBorder="1" applyAlignment="1" applyProtection="1">
      <alignment horizontal="center" vertical="center" wrapText="1"/>
      <protection hidden="1"/>
    </xf>
    <xf numFmtId="0" fontId="3" fillId="0" borderId="4" xfId="0" applyFont="1" applyBorder="1" applyAlignment="1" applyProtection="1">
      <alignment horizontal="center" vertical="center" wrapText="1"/>
      <protection hidden="1"/>
    </xf>
    <xf numFmtId="0" fontId="3" fillId="0" borderId="5" xfId="0" applyFont="1" applyBorder="1" applyAlignment="1" applyProtection="1">
      <alignment horizontal="center" vertical="center" wrapText="1"/>
      <protection hidden="1"/>
    </xf>
    <xf numFmtId="0" fontId="3" fillId="0" borderId="6" xfId="0" applyFont="1" applyBorder="1" applyAlignment="1" applyProtection="1">
      <alignment horizontal="center" vertical="center" wrapText="1"/>
      <protection hidden="1"/>
    </xf>
    <xf numFmtId="0" fontId="4" fillId="0" borderId="8" xfId="0" applyFont="1" applyBorder="1" applyAlignment="1" applyProtection="1">
      <alignment horizontal="center" vertical="center" wrapText="1"/>
      <protection locked="0"/>
    </xf>
    <xf numFmtId="0" fontId="4" fillId="0" borderId="9" xfId="0" applyFont="1" applyBorder="1" applyAlignment="1" applyProtection="1">
      <alignment horizontal="center" vertical="center" wrapText="1"/>
      <protection locked="0"/>
    </xf>
    <xf numFmtId="0" fontId="5" fillId="0" borderId="7" xfId="0" applyFont="1" applyBorder="1" applyAlignment="1" applyProtection="1">
      <alignment horizontal="center" vertical="center"/>
      <protection hidden="1"/>
    </xf>
    <xf numFmtId="164" fontId="6" fillId="0" borderId="11" xfId="0" applyNumberFormat="1" applyFont="1" applyBorder="1" applyAlignment="1" applyProtection="1">
      <alignment horizontal="center" vertical="center" wrapText="1"/>
      <protection hidden="1"/>
    </xf>
    <xf numFmtId="0" fontId="6" fillId="0" borderId="12" xfId="0" applyFont="1" applyBorder="1" applyAlignment="1" applyProtection="1">
      <alignment horizontal="center" vertical="center" wrapText="1"/>
      <protection hidden="1"/>
    </xf>
    <xf numFmtId="0" fontId="6" fillId="0" borderId="13" xfId="0" applyFont="1" applyBorder="1" applyAlignment="1" applyProtection="1">
      <alignment horizontal="center" vertical="center" wrapText="1"/>
      <protection hidden="1"/>
    </xf>
    <xf numFmtId="164" fontId="6" fillId="0" borderId="13" xfId="0" applyNumberFormat="1" applyFont="1" applyBorder="1" applyAlignment="1" applyProtection="1">
      <alignment horizontal="center" vertical="center" wrapText="1"/>
      <protection hidden="1"/>
    </xf>
    <xf numFmtId="49" fontId="0" fillId="0" borderId="35" xfId="0" applyNumberFormat="1" applyBorder="1" applyAlignment="1">
      <alignment horizontal="center" wrapText="1"/>
    </xf>
    <xf numFmtId="49" fontId="0" fillId="0" borderId="0" xfId="0" applyNumberFormat="1" applyAlignment="1">
      <alignment horizontal="center" wrapText="1"/>
    </xf>
    <xf numFmtId="49" fontId="0" fillId="0" borderId="32" xfId="0" applyNumberFormat="1" applyBorder="1" applyAlignment="1">
      <alignment horizontal="center"/>
    </xf>
    <xf numFmtId="0" fontId="3" fillId="0" borderId="0" xfId="0" applyFont="1" applyAlignment="1" applyProtection="1">
      <alignment horizontal="center" vertical="center"/>
      <protection hidden="1"/>
    </xf>
    <xf numFmtId="0" fontId="3" fillId="0" borderId="28" xfId="0" applyFont="1" applyBorder="1" applyAlignment="1" applyProtection="1">
      <alignment horizontal="center" vertical="center" wrapText="1"/>
      <protection hidden="1"/>
    </xf>
    <xf numFmtId="0" fontId="3" fillId="0" borderId="29" xfId="0" applyFont="1" applyBorder="1" applyAlignment="1" applyProtection="1">
      <alignment horizontal="center" vertical="center" wrapText="1"/>
      <protection hidden="1"/>
    </xf>
    <xf numFmtId="0" fontId="3" fillId="0" borderId="29" xfId="0" applyFont="1" applyBorder="1" applyAlignment="1" applyProtection="1">
      <alignment horizontal="center" vertical="center"/>
      <protection hidden="1"/>
    </xf>
    <xf numFmtId="0" fontId="3" fillId="0" borderId="30" xfId="0" applyFont="1" applyBorder="1" applyAlignment="1" applyProtection="1">
      <alignment horizontal="center" vertical="center"/>
      <protection hidden="1"/>
    </xf>
    <xf numFmtId="0" fontId="3" fillId="0" borderId="32" xfId="0" applyFont="1" applyBorder="1" applyAlignment="1" applyProtection="1">
      <alignment horizontal="center" vertical="center" wrapText="1"/>
      <protection hidden="1"/>
    </xf>
    <xf numFmtId="0" fontId="3" fillId="0" borderId="0" xfId="0" applyFont="1" applyAlignment="1" applyProtection="1">
      <alignment horizontal="center" vertical="center" wrapText="1"/>
      <protection hidden="1"/>
    </xf>
    <xf numFmtId="49" fontId="5" fillId="0" borderId="8" xfId="0" applyNumberFormat="1" applyFont="1" applyBorder="1" applyAlignment="1" applyProtection="1">
      <alignment horizontal="center" vertical="center" wrapText="1"/>
      <protection hidden="1"/>
    </xf>
    <xf numFmtId="49" fontId="5" fillId="0" borderId="34" xfId="0" applyNumberFormat="1" applyFont="1" applyBorder="1" applyAlignment="1" applyProtection="1">
      <alignment horizontal="center" vertical="center" wrapText="1"/>
      <protection hidden="1"/>
    </xf>
    <xf numFmtId="49" fontId="3" fillId="0" borderId="8" xfId="0" applyNumberFormat="1" applyFont="1" applyBorder="1" applyAlignment="1" applyProtection="1">
      <alignment horizontal="center" vertical="center"/>
      <protection hidden="1"/>
    </xf>
    <xf numFmtId="49" fontId="3" fillId="0" borderId="9" xfId="0" applyNumberFormat="1" applyFont="1" applyBorder="1" applyAlignment="1" applyProtection="1">
      <alignment horizontal="center" vertical="center"/>
      <protection hidden="1"/>
    </xf>
    <xf numFmtId="49" fontId="3" fillId="0" borderId="34" xfId="0" applyNumberFormat="1" applyFont="1" applyBorder="1" applyAlignment="1" applyProtection="1">
      <alignment horizontal="center" vertical="center"/>
      <protection hidden="1"/>
    </xf>
    <xf numFmtId="49" fontId="5" fillId="0" borderId="8" xfId="0" applyNumberFormat="1" applyFont="1" applyBorder="1" applyAlignment="1" applyProtection="1">
      <alignment horizontal="center" vertical="center"/>
      <protection hidden="1"/>
    </xf>
    <xf numFmtId="49" fontId="5" fillId="0" borderId="21" xfId="0" applyNumberFormat="1" applyFont="1" applyBorder="1" applyAlignment="1" applyProtection="1">
      <alignment horizontal="center" vertical="center"/>
      <protection hidden="1"/>
    </xf>
  </cellXfs>
  <cellStyles count="3">
    <cellStyle name="Moneda" xfId="1" builtinId="4"/>
    <cellStyle name="Normal" xfId="0" builtinId="0"/>
    <cellStyle name="Porcentaje" xfId="2" builtinId="5"/>
  </cellStyles>
  <dxfs count="1">
    <dxf>
      <font>
        <color rgb="FFFF0000"/>
      </font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E83FF-6607-41B6-8126-1F252062B2F7}">
  <dimension ref="A1:H40"/>
  <sheetViews>
    <sheetView tabSelected="1" zoomScale="85" zoomScaleNormal="85" workbookViewId="0">
      <selection activeCell="E6" sqref="E6"/>
    </sheetView>
  </sheetViews>
  <sheetFormatPr baseColWidth="10" defaultRowHeight="15" x14ac:dyDescent="0.25"/>
  <cols>
    <col min="1" max="1" width="12.140625" customWidth="1"/>
    <col min="2" max="2" width="16.5703125" customWidth="1"/>
    <col min="3" max="3" width="23.5703125" customWidth="1"/>
    <col min="4" max="4" width="14" customWidth="1"/>
    <col min="5" max="5" width="19.85546875" customWidth="1"/>
    <col min="6" max="6" width="17" customWidth="1"/>
    <col min="7" max="7" width="10.5703125" bestFit="1" customWidth="1"/>
  </cols>
  <sheetData>
    <row r="1" spans="1:8" x14ac:dyDescent="0.25">
      <c r="A1" s="81" t="s">
        <v>0</v>
      </c>
      <c r="B1" s="82"/>
      <c r="C1" s="82"/>
      <c r="D1" s="82"/>
      <c r="E1" s="83"/>
    </row>
    <row r="2" spans="1:8" ht="15.75" thickBot="1" x14ac:dyDescent="0.3">
      <c r="A2" s="84" t="s">
        <v>1</v>
      </c>
      <c r="B2" s="85"/>
      <c r="C2" s="85"/>
      <c r="D2" s="85"/>
      <c r="E2" s="86"/>
    </row>
    <row r="3" spans="1:8" ht="17.25" thickBot="1" x14ac:dyDescent="0.35">
      <c r="A3" s="1" t="s">
        <v>2</v>
      </c>
      <c r="B3" s="41"/>
      <c r="C3" s="2" t="s">
        <v>3</v>
      </c>
      <c r="D3" s="87"/>
      <c r="E3" s="88"/>
    </row>
    <row r="4" spans="1:8" ht="15.75" thickBot="1" x14ac:dyDescent="0.3">
      <c r="A4" s="56" t="s">
        <v>4</v>
      </c>
      <c r="B4" s="89"/>
      <c r="C4" s="3" t="s">
        <v>56</v>
      </c>
      <c r="D4" s="4" t="s">
        <v>5</v>
      </c>
      <c r="E4" s="5">
        <v>46157</v>
      </c>
    </row>
    <row r="5" spans="1:8" x14ac:dyDescent="0.25">
      <c r="A5" s="90" t="s">
        <v>6</v>
      </c>
      <c r="B5" s="91"/>
      <c r="C5" s="92"/>
      <c r="D5" s="90" t="s">
        <v>7</v>
      </c>
      <c r="E5" s="93"/>
    </row>
    <row r="6" spans="1:8" x14ac:dyDescent="0.25">
      <c r="A6" s="6" t="str">
        <f>+Hoja2!A6</f>
        <v>E4</v>
      </c>
      <c r="B6" s="7">
        <f>+Hoja2!B20</f>
        <v>0</v>
      </c>
      <c r="C6" s="74">
        <f>+SUM(B6:B15)</f>
        <v>0</v>
      </c>
      <c r="D6" s="8" t="s">
        <v>8</v>
      </c>
      <c r="E6" s="9"/>
    </row>
    <row r="7" spans="1:8" x14ac:dyDescent="0.25">
      <c r="A7" s="6" t="str">
        <f>+Hoja2!A7</f>
        <v>E3</v>
      </c>
      <c r="B7" s="7">
        <f>+Hoja2!B21</f>
        <v>0</v>
      </c>
      <c r="C7" s="74"/>
      <c r="D7" s="8" t="s">
        <v>9</v>
      </c>
      <c r="E7" s="10">
        <f>+C6-E6</f>
        <v>0</v>
      </c>
    </row>
    <row r="8" spans="1:8" x14ac:dyDescent="0.25">
      <c r="A8" s="6" t="str">
        <f>+Hoja2!A8</f>
        <v>Q</v>
      </c>
      <c r="B8" s="7">
        <v>0</v>
      </c>
      <c r="C8" s="74"/>
      <c r="D8" s="76" t="s">
        <v>10</v>
      </c>
      <c r="E8" s="77">
        <f>+C6*0.7</f>
        <v>0</v>
      </c>
    </row>
    <row r="9" spans="1:8" x14ac:dyDescent="0.25">
      <c r="A9" s="6" t="str">
        <f>+Hoja2!A9</f>
        <v>CP</v>
      </c>
      <c r="B9" s="7">
        <v>0</v>
      </c>
      <c r="C9" s="74"/>
      <c r="D9" s="76"/>
      <c r="E9" s="77"/>
    </row>
    <row r="10" spans="1:8" x14ac:dyDescent="0.25">
      <c r="A10" s="6">
        <f>+Hoja2!A10</f>
        <v>7</v>
      </c>
      <c r="B10" s="7">
        <v>0</v>
      </c>
      <c r="C10" s="74"/>
      <c r="D10" s="8" t="s">
        <v>11</v>
      </c>
      <c r="E10" s="10">
        <f>+E8-E6</f>
        <v>0</v>
      </c>
    </row>
    <row r="11" spans="1:8" x14ac:dyDescent="0.25">
      <c r="A11" s="6" t="str">
        <f>+Hoja2!A11</f>
        <v>CT</v>
      </c>
      <c r="B11" s="7">
        <v>0</v>
      </c>
      <c r="C11" s="74"/>
      <c r="D11" s="70" t="s">
        <v>12</v>
      </c>
      <c r="E11" s="72"/>
    </row>
    <row r="12" spans="1:8" x14ac:dyDescent="0.25">
      <c r="A12" s="6" t="str">
        <f>+Hoja2!A12</f>
        <v>7B</v>
      </c>
      <c r="B12" s="7">
        <v>0</v>
      </c>
      <c r="C12" s="74"/>
      <c r="D12" s="78">
        <f>+E10+B25</f>
        <v>0</v>
      </c>
      <c r="E12" s="79"/>
      <c r="F12" s="11"/>
      <c r="G12" s="11"/>
      <c r="H12" s="11"/>
    </row>
    <row r="13" spans="1:8" x14ac:dyDescent="0.25">
      <c r="A13" s="6" t="str">
        <f>+Hoja2!A13</f>
        <v>E9</v>
      </c>
      <c r="B13" s="7">
        <v>0</v>
      </c>
      <c r="C13" s="74"/>
      <c r="D13" s="76" t="s">
        <v>13</v>
      </c>
      <c r="E13" s="80"/>
      <c r="F13" s="11"/>
      <c r="G13" s="12"/>
    </row>
    <row r="14" spans="1:8" x14ac:dyDescent="0.25">
      <c r="A14" s="6" t="str">
        <f>+Hoja2!A14</f>
        <v>SG</v>
      </c>
      <c r="B14" s="7">
        <v>0</v>
      </c>
      <c r="C14" s="74"/>
      <c r="D14" s="76"/>
      <c r="E14" s="80"/>
      <c r="F14" s="11"/>
      <c r="H14" s="13"/>
    </row>
    <row r="15" spans="1:8" ht="15.75" thickBot="1" x14ac:dyDescent="0.3">
      <c r="A15" s="6" t="str">
        <f>+Hoja2!A15</f>
        <v>O1</v>
      </c>
      <c r="B15" s="7">
        <v>0</v>
      </c>
      <c r="C15" s="75"/>
      <c r="D15" s="73">
        <f>+E7+B25</f>
        <v>0</v>
      </c>
      <c r="E15" s="48"/>
      <c r="F15" s="11"/>
    </row>
    <row r="16" spans="1:8" ht="15.75" thickBot="1" x14ac:dyDescent="0.3">
      <c r="A16" s="14" t="s">
        <v>14</v>
      </c>
      <c r="B16" s="15"/>
      <c r="C16" s="16" t="s">
        <v>15</v>
      </c>
      <c r="D16" s="17"/>
      <c r="E16" s="18">
        <f>+B16-D16</f>
        <v>0</v>
      </c>
      <c r="F16" s="11"/>
      <c r="G16" s="11"/>
    </row>
    <row r="17" spans="1:7" x14ac:dyDescent="0.25">
      <c r="A17" s="19" t="s">
        <v>16</v>
      </c>
      <c r="B17" s="53" t="s">
        <v>17</v>
      </c>
      <c r="C17" s="54"/>
      <c r="D17" s="57" t="s">
        <v>18</v>
      </c>
      <c r="E17" s="58"/>
    </row>
    <row r="18" spans="1:7" ht="15.75" thickBot="1" x14ac:dyDescent="0.3">
      <c r="A18" s="60"/>
      <c r="B18" s="55"/>
      <c r="C18" s="56"/>
      <c r="D18" s="56"/>
      <c r="E18" s="59"/>
      <c r="F18" s="20"/>
      <c r="G18" s="11"/>
    </row>
    <row r="19" spans="1:7" x14ac:dyDescent="0.25">
      <c r="A19" s="60"/>
      <c r="B19" s="21" t="s">
        <v>19</v>
      </c>
      <c r="C19" s="22" t="s">
        <v>9</v>
      </c>
      <c r="D19" s="22" t="s">
        <v>19</v>
      </c>
      <c r="E19" s="23" t="s">
        <v>9</v>
      </c>
      <c r="F19" s="20"/>
      <c r="G19" s="18"/>
    </row>
    <row r="20" spans="1:7" ht="18.75" x14ac:dyDescent="0.3">
      <c r="A20" s="60"/>
      <c r="B20" s="24"/>
      <c r="C20" s="25"/>
      <c r="D20" s="26"/>
      <c r="E20" s="40"/>
      <c r="F20" s="20"/>
    </row>
    <row r="21" spans="1:7" x14ac:dyDescent="0.25">
      <c r="A21" s="60"/>
      <c r="B21" s="24"/>
      <c r="C21" s="25"/>
      <c r="D21" s="26"/>
      <c r="E21" s="27"/>
      <c r="F21" s="20"/>
    </row>
    <row r="22" spans="1:7" x14ac:dyDescent="0.25">
      <c r="A22" s="60"/>
      <c r="B22" s="24"/>
      <c r="C22" s="25"/>
      <c r="D22" s="26"/>
      <c r="E22" s="27"/>
    </row>
    <row r="23" spans="1:7" x14ac:dyDescent="0.25">
      <c r="A23" s="60"/>
      <c r="B23" s="24"/>
      <c r="C23" s="25"/>
      <c r="D23" s="26"/>
      <c r="E23" s="27"/>
    </row>
    <row r="24" spans="1:7" x14ac:dyDescent="0.25">
      <c r="A24" s="60"/>
      <c r="B24" s="61" t="s">
        <v>20</v>
      </c>
      <c r="C24" s="62"/>
      <c r="D24" s="63" t="s">
        <v>21</v>
      </c>
      <c r="E24" s="64"/>
    </row>
    <row r="25" spans="1:7" x14ac:dyDescent="0.25">
      <c r="A25" s="60"/>
      <c r="B25" s="65">
        <f>+SUM(C20:C23)</f>
        <v>0</v>
      </c>
      <c r="C25" s="66"/>
      <c r="D25" s="68">
        <f>+SUM(E20:E23)</f>
        <v>0</v>
      </c>
      <c r="E25" s="69"/>
    </row>
    <row r="26" spans="1:7" x14ac:dyDescent="0.25">
      <c r="A26" s="60"/>
      <c r="B26" s="67"/>
      <c r="C26" s="66"/>
      <c r="D26" s="66"/>
      <c r="E26" s="69"/>
    </row>
    <row r="27" spans="1:7" x14ac:dyDescent="0.25">
      <c r="A27" s="60"/>
      <c r="B27" s="70" t="s">
        <v>22</v>
      </c>
      <c r="C27" s="71"/>
      <c r="D27" s="71" t="s">
        <v>23</v>
      </c>
      <c r="E27" s="72"/>
    </row>
    <row r="28" spans="1:7" ht="15.75" thickBot="1" x14ac:dyDescent="0.3">
      <c r="A28" s="60"/>
      <c r="B28" s="73">
        <f>+D12-D25</f>
        <v>0</v>
      </c>
      <c r="C28" s="47"/>
      <c r="D28" s="47">
        <f>+D15-D25</f>
        <v>0</v>
      </c>
      <c r="E28" s="48"/>
    </row>
    <row r="30" spans="1:7" x14ac:dyDescent="0.25">
      <c r="A30" s="49" t="s">
        <v>24</v>
      </c>
      <c r="B30" s="49"/>
      <c r="C30" s="49"/>
    </row>
    <row r="31" spans="1:7" x14ac:dyDescent="0.25">
      <c r="A31" s="28" t="s">
        <v>25</v>
      </c>
      <c r="B31" s="50">
        <f>+A18</f>
        <v>0</v>
      </c>
      <c r="C31" s="51"/>
    </row>
    <row r="32" spans="1:7" x14ac:dyDescent="0.25">
      <c r="A32" s="29" t="s">
        <v>26</v>
      </c>
      <c r="B32" s="49">
        <f>+D3</f>
        <v>0</v>
      </c>
      <c r="C32" s="49"/>
    </row>
    <row r="33" spans="1:3" x14ac:dyDescent="0.25">
      <c r="A33" s="29" t="s">
        <v>27</v>
      </c>
      <c r="B33" s="49">
        <f>+B3</f>
        <v>0</v>
      </c>
      <c r="C33" s="49"/>
    </row>
    <row r="34" spans="1:3" x14ac:dyDescent="0.25">
      <c r="A34" s="29" t="s">
        <v>28</v>
      </c>
      <c r="B34" s="52">
        <f>+D28</f>
        <v>0</v>
      </c>
      <c r="C34" s="52"/>
    </row>
    <row r="35" spans="1:3" x14ac:dyDescent="0.25">
      <c r="A35" s="29" t="s">
        <v>29</v>
      </c>
      <c r="B35" s="42" t="str">
        <f>+C4</f>
        <v>09-2026</v>
      </c>
      <c r="C35" s="43"/>
    </row>
    <row r="36" spans="1:3" x14ac:dyDescent="0.25">
      <c r="A36" s="44" t="s">
        <v>30</v>
      </c>
      <c r="B36" s="45"/>
      <c r="C36" s="45"/>
    </row>
    <row r="37" spans="1:3" x14ac:dyDescent="0.25">
      <c r="A37" s="44"/>
      <c r="B37" s="45"/>
      <c r="C37" s="45"/>
    </row>
    <row r="38" spans="1:3" x14ac:dyDescent="0.25">
      <c r="A38" s="44"/>
      <c r="B38" s="45"/>
      <c r="C38" s="45"/>
    </row>
    <row r="39" spans="1:3" x14ac:dyDescent="0.25">
      <c r="A39" s="44"/>
      <c r="B39" s="45"/>
      <c r="C39" s="45"/>
    </row>
    <row r="40" spans="1:3" x14ac:dyDescent="0.25">
      <c r="A40" s="29" t="s">
        <v>31</v>
      </c>
      <c r="B40" s="46">
        <f ca="1">+TODAY()</f>
        <v>46176</v>
      </c>
      <c r="C40" s="46"/>
    </row>
  </sheetData>
  <mergeCells count="33">
    <mergeCell ref="A1:E1"/>
    <mergeCell ref="A2:E2"/>
    <mergeCell ref="D3:E3"/>
    <mergeCell ref="A4:B4"/>
    <mergeCell ref="A5:C5"/>
    <mergeCell ref="D5:E5"/>
    <mergeCell ref="C6:C15"/>
    <mergeCell ref="D8:D9"/>
    <mergeCell ref="E8:E9"/>
    <mergeCell ref="D11:E11"/>
    <mergeCell ref="D12:E12"/>
    <mergeCell ref="D13:E14"/>
    <mergeCell ref="D15:E15"/>
    <mergeCell ref="B17:C18"/>
    <mergeCell ref="D17:E18"/>
    <mergeCell ref="A18:A28"/>
    <mergeCell ref="B24:C24"/>
    <mergeCell ref="D24:E24"/>
    <mergeCell ref="B25:C26"/>
    <mergeCell ref="D25:E26"/>
    <mergeCell ref="B27:C27"/>
    <mergeCell ref="D27:E27"/>
    <mergeCell ref="B28:C28"/>
    <mergeCell ref="B35:C35"/>
    <mergeCell ref="A36:A39"/>
    <mergeCell ref="B36:C39"/>
    <mergeCell ref="B40:C40"/>
    <mergeCell ref="D28:E28"/>
    <mergeCell ref="A30:C30"/>
    <mergeCell ref="B31:C31"/>
    <mergeCell ref="B32:C32"/>
    <mergeCell ref="B33:C33"/>
    <mergeCell ref="B34:C34"/>
  </mergeCells>
  <conditionalFormatting sqref="B34:B35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D3F7D-6841-46B7-AF0E-0E2AA4653122}">
  <dimension ref="A1:P31"/>
  <sheetViews>
    <sheetView workbookViewId="0">
      <selection activeCell="D25" sqref="D25"/>
    </sheetView>
  </sheetViews>
  <sheetFormatPr baseColWidth="10" defaultRowHeight="15" x14ac:dyDescent="0.25"/>
  <cols>
    <col min="1" max="1" width="8.140625" bestFit="1" customWidth="1"/>
    <col min="2" max="2" width="10.140625" bestFit="1" customWidth="1"/>
    <col min="3" max="3" width="12.28515625" bestFit="1" customWidth="1"/>
    <col min="4" max="4" width="9.140625" bestFit="1" customWidth="1"/>
    <col min="5" max="5" width="8.140625" bestFit="1" customWidth="1"/>
    <col min="6" max="6" width="8.7109375" bestFit="1" customWidth="1"/>
    <col min="7" max="7" width="8.140625" bestFit="1" customWidth="1"/>
    <col min="8" max="8" width="8.7109375" bestFit="1" customWidth="1"/>
    <col min="9" max="9" width="8.140625" bestFit="1" customWidth="1"/>
    <col min="10" max="10" width="14.85546875" bestFit="1" customWidth="1"/>
    <col min="11" max="11" width="8.140625" bestFit="1" customWidth="1"/>
    <col min="12" max="12" width="12.5703125" customWidth="1"/>
    <col min="13" max="13" width="8.140625" bestFit="1" customWidth="1"/>
    <col min="14" max="14" width="8.7109375" bestFit="1" customWidth="1"/>
    <col min="15" max="15" width="8.140625" bestFit="1" customWidth="1"/>
    <col min="16" max="16" width="8.7109375" bestFit="1" customWidth="1"/>
  </cols>
  <sheetData>
    <row r="1" spans="1:16" ht="15.75" thickBot="1" x14ac:dyDescent="0.3">
      <c r="A1" s="98" t="s">
        <v>32</v>
      </c>
      <c r="B1" s="99"/>
      <c r="C1" s="99"/>
      <c r="D1" s="99"/>
      <c r="E1" s="99"/>
      <c r="F1" s="99"/>
      <c r="G1" s="99"/>
      <c r="H1" s="100"/>
      <c r="I1" s="101"/>
      <c r="J1" s="30" t="s">
        <v>33</v>
      </c>
      <c r="K1" s="31"/>
    </row>
    <row r="2" spans="1:16" ht="15.75" thickBot="1" x14ac:dyDescent="0.3">
      <c r="A2" s="102" t="s">
        <v>34</v>
      </c>
      <c r="B2" s="102"/>
      <c r="C2" s="32" t="s">
        <v>35</v>
      </c>
      <c r="D2" s="104" t="s">
        <v>36</v>
      </c>
      <c r="E2" s="105"/>
      <c r="F2" s="106" t="s">
        <v>37</v>
      </c>
      <c r="G2" s="107"/>
      <c r="H2" s="108"/>
      <c r="I2" s="109" t="s">
        <v>38</v>
      </c>
      <c r="J2" s="110"/>
      <c r="K2" s="94" t="s">
        <v>39</v>
      </c>
      <c r="L2" s="95"/>
      <c r="M2" s="95"/>
    </row>
    <row r="3" spans="1:16" x14ac:dyDescent="0.25">
      <c r="A3" s="103"/>
      <c r="B3" s="103"/>
      <c r="C3" s="96" t="s">
        <v>40</v>
      </c>
      <c r="D3" s="96"/>
      <c r="E3" s="96"/>
      <c r="F3" s="33"/>
      <c r="G3" s="33"/>
      <c r="H3" s="33"/>
      <c r="I3" s="33"/>
      <c r="J3" s="33"/>
      <c r="K3" s="33"/>
    </row>
    <row r="4" spans="1:16" x14ac:dyDescent="0.25">
      <c r="C4" s="33"/>
      <c r="D4" s="33"/>
      <c r="E4" s="33"/>
      <c r="F4" s="33"/>
      <c r="G4" s="33"/>
      <c r="H4" s="33"/>
      <c r="I4" s="33"/>
      <c r="J4" s="33"/>
      <c r="K4" s="33"/>
    </row>
    <row r="5" spans="1:16" x14ac:dyDescent="0.25">
      <c r="A5" t="s">
        <v>41</v>
      </c>
      <c r="B5" t="s">
        <v>42</v>
      </c>
      <c r="C5" t="s">
        <v>41</v>
      </c>
      <c r="D5" t="s">
        <v>42</v>
      </c>
      <c r="E5" t="s">
        <v>41</v>
      </c>
      <c r="F5" t="s">
        <v>42</v>
      </c>
      <c r="G5" t="s">
        <v>41</v>
      </c>
      <c r="H5" t="s">
        <v>42</v>
      </c>
      <c r="I5" t="s">
        <v>41</v>
      </c>
      <c r="J5" t="s">
        <v>42</v>
      </c>
      <c r="K5" t="s">
        <v>41</v>
      </c>
      <c r="L5" t="s">
        <v>42</v>
      </c>
      <c r="M5" t="s">
        <v>41</v>
      </c>
      <c r="N5" t="s">
        <v>42</v>
      </c>
      <c r="O5" t="s">
        <v>41</v>
      </c>
      <c r="P5" t="s">
        <v>42</v>
      </c>
    </row>
    <row r="6" spans="1:16" x14ac:dyDescent="0.25">
      <c r="A6" s="34" t="s">
        <v>43</v>
      </c>
      <c r="B6" s="35"/>
      <c r="C6" s="36" t="str">
        <f t="shared" ref="C6:O14" si="0">+A6</f>
        <v>E4</v>
      </c>
      <c r="D6" s="35"/>
      <c r="E6" s="36" t="str">
        <f t="shared" si="0"/>
        <v>E4</v>
      </c>
      <c r="F6" s="35"/>
      <c r="G6" s="36" t="str">
        <f t="shared" si="0"/>
        <v>E4</v>
      </c>
      <c r="H6" s="35"/>
      <c r="I6" s="36" t="str">
        <f t="shared" si="0"/>
        <v>E4</v>
      </c>
      <c r="J6" s="35"/>
      <c r="K6" s="36" t="str">
        <f t="shared" si="0"/>
        <v>E4</v>
      </c>
      <c r="L6" s="35"/>
      <c r="M6" s="36" t="str">
        <f t="shared" si="0"/>
        <v>E4</v>
      </c>
      <c r="N6" s="35"/>
      <c r="O6" s="36" t="str">
        <f t="shared" si="0"/>
        <v>E4</v>
      </c>
      <c r="P6" s="35"/>
    </row>
    <row r="7" spans="1:16" x14ac:dyDescent="0.25">
      <c r="A7" s="34" t="s">
        <v>44</v>
      </c>
      <c r="B7" s="35"/>
      <c r="C7" s="36" t="str">
        <f t="shared" si="0"/>
        <v>E3</v>
      </c>
      <c r="D7" s="35"/>
      <c r="E7" s="36" t="str">
        <f t="shared" si="0"/>
        <v>E3</v>
      </c>
      <c r="F7" s="35"/>
      <c r="G7" s="36" t="str">
        <f t="shared" si="0"/>
        <v>E3</v>
      </c>
      <c r="H7" s="35"/>
      <c r="I7" s="36" t="str">
        <f t="shared" si="0"/>
        <v>E3</v>
      </c>
      <c r="J7" s="35"/>
      <c r="K7" s="36" t="str">
        <f t="shared" si="0"/>
        <v>E3</v>
      </c>
      <c r="L7" s="35"/>
      <c r="M7" s="36" t="str">
        <f t="shared" si="0"/>
        <v>E3</v>
      </c>
      <c r="N7" s="35"/>
      <c r="O7" s="36" t="str">
        <f t="shared" si="0"/>
        <v>E3</v>
      </c>
      <c r="P7" s="35"/>
    </row>
    <row r="8" spans="1:16" x14ac:dyDescent="0.25">
      <c r="A8" s="34" t="s">
        <v>45</v>
      </c>
      <c r="B8" s="35"/>
      <c r="C8" s="36" t="str">
        <f t="shared" si="0"/>
        <v>Q</v>
      </c>
      <c r="D8" s="35"/>
      <c r="E8" s="36" t="str">
        <f t="shared" si="0"/>
        <v>Q</v>
      </c>
      <c r="F8" s="35"/>
      <c r="G8" s="36" t="str">
        <f t="shared" si="0"/>
        <v>Q</v>
      </c>
      <c r="H8" s="35"/>
      <c r="I8" s="36" t="str">
        <f t="shared" si="0"/>
        <v>Q</v>
      </c>
      <c r="J8" s="35"/>
      <c r="K8" s="36" t="str">
        <f t="shared" si="0"/>
        <v>Q</v>
      </c>
      <c r="L8" s="35"/>
      <c r="M8" s="36" t="str">
        <f t="shared" si="0"/>
        <v>Q</v>
      </c>
      <c r="N8" s="35"/>
      <c r="O8" s="36" t="str">
        <f t="shared" si="0"/>
        <v>Q</v>
      </c>
      <c r="P8" s="35"/>
    </row>
    <row r="9" spans="1:16" x14ac:dyDescent="0.25">
      <c r="A9" s="34" t="s">
        <v>46</v>
      </c>
      <c r="B9" s="35"/>
      <c r="C9" s="36" t="str">
        <f t="shared" si="0"/>
        <v>CP</v>
      </c>
      <c r="D9" s="35"/>
      <c r="E9" s="36" t="str">
        <f t="shared" si="0"/>
        <v>CP</v>
      </c>
      <c r="F9" s="35"/>
      <c r="G9" s="36" t="str">
        <f t="shared" si="0"/>
        <v>CP</v>
      </c>
      <c r="H9" s="35"/>
      <c r="I9" s="36" t="str">
        <f t="shared" si="0"/>
        <v>CP</v>
      </c>
      <c r="J9" s="35"/>
      <c r="K9" s="36" t="str">
        <f t="shared" si="0"/>
        <v>CP</v>
      </c>
      <c r="L9" s="35"/>
      <c r="M9" s="36" t="str">
        <f t="shared" si="0"/>
        <v>CP</v>
      </c>
      <c r="N9" s="35"/>
      <c r="O9" s="36" t="str">
        <f t="shared" si="0"/>
        <v>CP</v>
      </c>
      <c r="P9" s="35"/>
    </row>
    <row r="10" spans="1:16" x14ac:dyDescent="0.25">
      <c r="A10" s="34">
        <v>7</v>
      </c>
      <c r="B10" s="35"/>
      <c r="C10" s="36">
        <f t="shared" si="0"/>
        <v>7</v>
      </c>
      <c r="D10" s="35"/>
      <c r="E10" s="36">
        <f t="shared" si="0"/>
        <v>7</v>
      </c>
      <c r="F10" s="35"/>
      <c r="G10" s="36">
        <f t="shared" si="0"/>
        <v>7</v>
      </c>
      <c r="H10" s="35"/>
      <c r="I10" s="36">
        <f t="shared" si="0"/>
        <v>7</v>
      </c>
      <c r="J10" s="35"/>
      <c r="K10" s="36">
        <f t="shared" si="0"/>
        <v>7</v>
      </c>
      <c r="L10" s="35"/>
      <c r="M10" s="36">
        <f t="shared" si="0"/>
        <v>7</v>
      </c>
      <c r="N10" s="35"/>
      <c r="O10" s="36">
        <f t="shared" si="0"/>
        <v>7</v>
      </c>
      <c r="P10" s="35"/>
    </row>
    <row r="11" spans="1:16" x14ac:dyDescent="0.25">
      <c r="A11" s="34" t="s">
        <v>47</v>
      </c>
      <c r="B11" s="35"/>
      <c r="C11" s="36" t="str">
        <f t="shared" si="0"/>
        <v>CT</v>
      </c>
      <c r="D11" s="35"/>
      <c r="E11" s="36" t="str">
        <f t="shared" si="0"/>
        <v>CT</v>
      </c>
      <c r="F11" s="35"/>
      <c r="G11" s="36" t="str">
        <f t="shared" si="0"/>
        <v>CT</v>
      </c>
      <c r="H11" s="35"/>
      <c r="I11" s="36" t="str">
        <f t="shared" si="0"/>
        <v>CT</v>
      </c>
      <c r="J11" s="35"/>
      <c r="K11" s="36" t="str">
        <f t="shared" si="0"/>
        <v>CT</v>
      </c>
      <c r="L11" s="35"/>
      <c r="M11" s="36" t="str">
        <f t="shared" si="0"/>
        <v>CT</v>
      </c>
      <c r="N11" s="35"/>
      <c r="O11" s="36" t="str">
        <f t="shared" si="0"/>
        <v>CT</v>
      </c>
      <c r="P11" s="35"/>
    </row>
    <row r="12" spans="1:16" x14ac:dyDescent="0.25">
      <c r="A12" s="34" t="s">
        <v>48</v>
      </c>
      <c r="B12" s="35"/>
      <c r="C12" s="36" t="str">
        <f t="shared" si="0"/>
        <v>7B</v>
      </c>
      <c r="D12" s="35"/>
      <c r="E12" s="36" t="str">
        <f t="shared" si="0"/>
        <v>7B</v>
      </c>
      <c r="F12" s="35"/>
      <c r="G12" s="36" t="str">
        <f t="shared" si="0"/>
        <v>7B</v>
      </c>
      <c r="H12" s="35"/>
      <c r="I12" s="36" t="str">
        <f t="shared" si="0"/>
        <v>7B</v>
      </c>
      <c r="J12" s="35"/>
      <c r="K12" s="36" t="str">
        <f t="shared" si="0"/>
        <v>7B</v>
      </c>
      <c r="L12" s="35"/>
      <c r="M12" s="36" t="str">
        <f t="shared" si="0"/>
        <v>7B</v>
      </c>
      <c r="N12" s="35"/>
      <c r="O12" s="36" t="str">
        <f t="shared" si="0"/>
        <v>7B</v>
      </c>
      <c r="P12" s="35"/>
    </row>
    <row r="13" spans="1:16" x14ac:dyDescent="0.25">
      <c r="A13" s="34" t="s">
        <v>49</v>
      </c>
      <c r="B13" s="35"/>
      <c r="C13" s="36" t="str">
        <f t="shared" si="0"/>
        <v>E9</v>
      </c>
      <c r="D13" s="35"/>
      <c r="E13" s="36" t="str">
        <f t="shared" si="0"/>
        <v>E9</v>
      </c>
      <c r="F13" s="35"/>
      <c r="G13" s="36" t="str">
        <f t="shared" si="0"/>
        <v>E9</v>
      </c>
      <c r="H13" s="35"/>
      <c r="I13" s="36" t="str">
        <f t="shared" si="0"/>
        <v>E9</v>
      </c>
      <c r="J13" s="35"/>
      <c r="K13" s="36" t="str">
        <f t="shared" si="0"/>
        <v>E9</v>
      </c>
      <c r="L13" s="35"/>
      <c r="M13" s="36" t="str">
        <f t="shared" si="0"/>
        <v>E9</v>
      </c>
      <c r="N13" s="35"/>
      <c r="O13" s="36" t="str">
        <f t="shared" si="0"/>
        <v>E9</v>
      </c>
      <c r="P13" s="35"/>
    </row>
    <row r="14" spans="1:16" x14ac:dyDescent="0.25">
      <c r="A14" s="34" t="s">
        <v>50</v>
      </c>
      <c r="B14" s="35"/>
      <c r="C14" s="36" t="str">
        <f t="shared" si="0"/>
        <v>SG</v>
      </c>
      <c r="D14" s="35"/>
      <c r="E14" s="36" t="str">
        <f t="shared" si="0"/>
        <v>SG</v>
      </c>
      <c r="F14" s="35"/>
      <c r="G14" s="36" t="str">
        <f t="shared" si="0"/>
        <v>SG</v>
      </c>
      <c r="H14" s="35"/>
      <c r="I14" s="36" t="str">
        <f t="shared" si="0"/>
        <v>SG</v>
      </c>
      <c r="J14" s="35"/>
      <c r="K14" s="36" t="str">
        <f t="shared" si="0"/>
        <v>SG</v>
      </c>
      <c r="L14" s="35"/>
      <c r="M14" s="36" t="str">
        <f t="shared" si="0"/>
        <v>SG</v>
      </c>
      <c r="N14" s="35"/>
      <c r="O14" s="36" t="str">
        <f t="shared" si="0"/>
        <v>SG</v>
      </c>
      <c r="P14" s="35"/>
    </row>
    <row r="15" spans="1:16" x14ac:dyDescent="0.25">
      <c r="A15" s="36" t="s">
        <v>51</v>
      </c>
      <c r="B15" s="35"/>
      <c r="C15" s="36" t="str">
        <f>+A15</f>
        <v>O1</v>
      </c>
      <c r="D15" s="35"/>
      <c r="E15" s="36" t="str">
        <f>+C15</f>
        <v>O1</v>
      </c>
      <c r="F15" s="35"/>
      <c r="G15" s="36" t="str">
        <f>+E15</f>
        <v>O1</v>
      </c>
      <c r="H15" s="35"/>
      <c r="I15" s="36" t="str">
        <f>+G15</f>
        <v>O1</v>
      </c>
      <c r="J15" s="35"/>
      <c r="K15" s="36" t="str">
        <f>+I15</f>
        <v>O1</v>
      </c>
      <c r="L15" s="35"/>
      <c r="M15" s="36" t="str">
        <f>+K15</f>
        <v>O1</v>
      </c>
      <c r="N15" s="35"/>
      <c r="O15" s="36" t="str">
        <f>+M15</f>
        <v>O1</v>
      </c>
      <c r="P15" s="35"/>
    </row>
    <row r="16" spans="1:16" x14ac:dyDescent="0.25">
      <c r="A16" s="37" t="s">
        <v>52</v>
      </c>
      <c r="B16" s="35"/>
      <c r="C16" s="36" t="str">
        <f t="shared" ref="C16:O17" si="1">+A16</f>
        <v>D</v>
      </c>
      <c r="D16" s="35"/>
      <c r="E16" s="36" t="str">
        <f t="shared" si="1"/>
        <v>D</v>
      </c>
      <c r="F16" s="35"/>
      <c r="G16" s="36" t="str">
        <f t="shared" si="1"/>
        <v>D</v>
      </c>
      <c r="H16" s="35"/>
      <c r="I16" s="36" t="str">
        <f t="shared" si="1"/>
        <v>D</v>
      </c>
      <c r="J16" s="35"/>
      <c r="K16" s="36" t="str">
        <f t="shared" si="1"/>
        <v>D</v>
      </c>
      <c r="L16" s="35"/>
      <c r="M16" s="36" t="str">
        <f t="shared" si="1"/>
        <v>D</v>
      </c>
      <c r="N16" s="35"/>
      <c r="O16" s="36" t="str">
        <f t="shared" si="1"/>
        <v>D</v>
      </c>
      <c r="P16" s="35"/>
    </row>
    <row r="17" spans="1:16" x14ac:dyDescent="0.25">
      <c r="A17" s="37" t="s">
        <v>53</v>
      </c>
      <c r="B17" s="35"/>
      <c r="C17" s="36" t="str">
        <f t="shared" si="1"/>
        <v>DC</v>
      </c>
      <c r="D17" s="35"/>
      <c r="E17" s="36" t="str">
        <f t="shared" si="1"/>
        <v>DC</v>
      </c>
      <c r="F17" s="35"/>
      <c r="G17" s="36" t="str">
        <f t="shared" si="1"/>
        <v>DC</v>
      </c>
      <c r="H17" s="35"/>
      <c r="I17" s="36" t="str">
        <f t="shared" si="1"/>
        <v>DC</v>
      </c>
      <c r="J17" s="35"/>
      <c r="K17" s="36" t="str">
        <f t="shared" si="1"/>
        <v>DC</v>
      </c>
      <c r="L17" s="35"/>
      <c r="M17" s="36" t="str">
        <f t="shared" si="1"/>
        <v>DC</v>
      </c>
      <c r="N17" s="35"/>
      <c r="O17" s="36" t="str">
        <f t="shared" si="1"/>
        <v>DC</v>
      </c>
      <c r="P17" s="35"/>
    </row>
    <row r="18" spans="1:16" x14ac:dyDescent="0.25">
      <c r="A18" s="39" t="s">
        <v>54</v>
      </c>
      <c r="B18" s="38"/>
      <c r="C18" s="39"/>
      <c r="D18" s="35">
        <f>+SUM(D6:D15)-D16</f>
        <v>0</v>
      </c>
      <c r="E18" s="39"/>
      <c r="F18" s="35">
        <f>+SUM(F6:F15)-F16</f>
        <v>0</v>
      </c>
      <c r="G18" s="39"/>
      <c r="H18" s="35">
        <f>+SUM(H6:H15)-H16</f>
        <v>0</v>
      </c>
      <c r="I18" s="39"/>
      <c r="J18" s="35">
        <f>+SUM(J6:J15)-J16</f>
        <v>0</v>
      </c>
      <c r="K18" s="39"/>
      <c r="L18" s="35">
        <f>+SUM(L6:L15)-L16</f>
        <v>0</v>
      </c>
      <c r="M18" s="39"/>
      <c r="N18" s="35">
        <f>+SUM(N6:N15)-N16</f>
        <v>0</v>
      </c>
      <c r="O18" s="39"/>
      <c r="P18" s="35">
        <f>+SUM(P6:P15)-P16</f>
        <v>0</v>
      </c>
    </row>
    <row r="19" spans="1:16" x14ac:dyDescent="0.25">
      <c r="A19" s="97" t="s">
        <v>55</v>
      </c>
      <c r="B19" s="97"/>
    </row>
    <row r="20" spans="1:16" x14ac:dyDescent="0.25">
      <c r="A20" s="34" t="str">
        <f>+A6</f>
        <v>E4</v>
      </c>
      <c r="B20">
        <f>+B6+D6+F6+J6+H6+L6+N6+P6</f>
        <v>0</v>
      </c>
      <c r="D20" s="35"/>
    </row>
    <row r="21" spans="1:16" x14ac:dyDescent="0.25">
      <c r="A21" s="34" t="str">
        <f t="shared" ref="A21:A31" si="2">+A7</f>
        <v>E3</v>
      </c>
      <c r="B21">
        <f t="shared" ref="B21:B29" si="3">+B7+D7+F7+J7+H7+L7+N7+P7</f>
        <v>0</v>
      </c>
    </row>
    <row r="22" spans="1:16" x14ac:dyDescent="0.25">
      <c r="A22" s="34" t="str">
        <f t="shared" si="2"/>
        <v>Q</v>
      </c>
      <c r="B22">
        <f t="shared" si="3"/>
        <v>0</v>
      </c>
    </row>
    <row r="23" spans="1:16" x14ac:dyDescent="0.25">
      <c r="A23" s="34" t="str">
        <f t="shared" si="2"/>
        <v>CP</v>
      </c>
      <c r="B23">
        <f t="shared" si="3"/>
        <v>0</v>
      </c>
    </row>
    <row r="24" spans="1:16" x14ac:dyDescent="0.25">
      <c r="A24" s="34">
        <f t="shared" si="2"/>
        <v>7</v>
      </c>
      <c r="B24">
        <f t="shared" si="3"/>
        <v>0</v>
      </c>
    </row>
    <row r="25" spans="1:16" x14ac:dyDescent="0.25">
      <c r="A25" s="34" t="str">
        <f t="shared" si="2"/>
        <v>CT</v>
      </c>
      <c r="B25">
        <f t="shared" si="3"/>
        <v>0</v>
      </c>
    </row>
    <row r="26" spans="1:16" x14ac:dyDescent="0.25">
      <c r="A26" s="34" t="str">
        <f t="shared" si="2"/>
        <v>7B</v>
      </c>
      <c r="B26">
        <f t="shared" si="3"/>
        <v>0</v>
      </c>
    </row>
    <row r="27" spans="1:16" x14ac:dyDescent="0.25">
      <c r="A27" s="34" t="str">
        <f t="shared" si="2"/>
        <v>E9</v>
      </c>
      <c r="B27">
        <f t="shared" si="3"/>
        <v>0</v>
      </c>
    </row>
    <row r="28" spans="1:16" x14ac:dyDescent="0.25">
      <c r="A28" s="34" t="str">
        <f t="shared" si="2"/>
        <v>SG</v>
      </c>
      <c r="B28">
        <f t="shared" si="3"/>
        <v>0</v>
      </c>
    </row>
    <row r="29" spans="1:16" x14ac:dyDescent="0.25">
      <c r="A29" s="34" t="str">
        <f t="shared" si="2"/>
        <v>O1</v>
      </c>
      <c r="B29">
        <f t="shared" si="3"/>
        <v>0</v>
      </c>
    </row>
    <row r="30" spans="1:16" x14ac:dyDescent="0.25">
      <c r="A30" s="34" t="str">
        <f t="shared" si="2"/>
        <v>D</v>
      </c>
      <c r="B30">
        <f>+B16+D16+F16+J16+H16+L16+N16+P16</f>
        <v>0</v>
      </c>
    </row>
    <row r="31" spans="1:16" x14ac:dyDescent="0.25">
      <c r="A31" s="34" t="str">
        <f t="shared" si="2"/>
        <v>DC</v>
      </c>
      <c r="B31">
        <f>+B17+D17+F17+J17+H17+L17+N17+P17</f>
        <v>0</v>
      </c>
    </row>
  </sheetData>
  <mergeCells count="8">
    <mergeCell ref="K2:M2"/>
    <mergeCell ref="C3:E3"/>
    <mergeCell ref="A19:B19"/>
    <mergeCell ref="A1:I1"/>
    <mergeCell ref="A2:B3"/>
    <mergeCell ref="D2:E2"/>
    <mergeCell ref="F2:H2"/>
    <mergeCell ref="I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8010E-D70F-447C-AB2F-FC94ABE22157}">
  <dimension ref="A1:B2"/>
  <sheetViews>
    <sheetView workbookViewId="0">
      <selection activeCell="E15" sqref="E15"/>
    </sheetView>
  </sheetViews>
  <sheetFormatPr baseColWidth="10" defaultRowHeight="15" x14ac:dyDescent="0.25"/>
  <sheetData>
    <row r="1" spans="1:2" x14ac:dyDescent="0.25">
      <c r="A1" s="18"/>
      <c r="B1">
        <v>28254.2</v>
      </c>
    </row>
    <row r="2" spans="1:2" x14ac:dyDescent="0.25">
      <c r="A2" s="18">
        <f>+B1-B2</f>
        <v>15990.28</v>
      </c>
      <c r="B2" s="18">
        <v>12263.92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47a0a78-c662-489a-a42d-81f23886f4eb">
      <Terms xmlns="http://schemas.microsoft.com/office/infopath/2007/PartnerControls"/>
    </lcf76f155ced4ddcb4097134ff3c332f>
    <TaxCatchAll xmlns="fe099af9-4df4-4c72-862e-0670d0c79e7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17227BB80B00B4BBA2935454461B6BD" ma:contentTypeVersion="11" ma:contentTypeDescription="Crear nuevo documento." ma:contentTypeScope="" ma:versionID="19bd04a672848fc19d03de20db1d35e6">
  <xsd:schema xmlns:xsd="http://www.w3.org/2001/XMLSchema" xmlns:xs="http://www.w3.org/2001/XMLSchema" xmlns:p="http://schemas.microsoft.com/office/2006/metadata/properties" xmlns:ns2="f47a0a78-c662-489a-a42d-81f23886f4eb" xmlns:ns3="fe099af9-4df4-4c72-862e-0670d0c79e7e" targetNamespace="http://schemas.microsoft.com/office/2006/metadata/properties" ma:root="true" ma:fieldsID="3467347376bf2b1ec21da9f08e24c3f6" ns2:_="" ns3:_="">
    <xsd:import namespace="f47a0a78-c662-489a-a42d-81f23886f4eb"/>
    <xsd:import namespace="fe099af9-4df4-4c72-862e-0670d0c79e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7a0a78-c662-489a-a42d-81f23886f4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d3c105f2-9060-40d2-856d-ce366acb322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99af9-4df4-4c72-862e-0670d0c79e7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47ed163-1c15-44e1-a900-36cf6f42cd85}" ma:internalName="TaxCatchAll" ma:showField="CatchAllData" ma:web="fe099af9-4df4-4c72-862e-0670d0c79e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1578B8-70F7-4968-9D14-58B98816C00F}">
  <ds:schemaRefs>
    <ds:schemaRef ds:uri="http://schemas.microsoft.com/office/2006/metadata/properties"/>
    <ds:schemaRef ds:uri="http://schemas.microsoft.com/office/infopath/2007/PartnerControls"/>
    <ds:schemaRef ds:uri="f47a0a78-c662-489a-a42d-81f23886f4eb"/>
    <ds:schemaRef ds:uri="fe099af9-4df4-4c72-862e-0670d0c79e7e"/>
  </ds:schemaRefs>
</ds:datastoreItem>
</file>

<file path=customXml/itemProps2.xml><?xml version="1.0" encoding="utf-8"?>
<ds:datastoreItem xmlns:ds="http://schemas.openxmlformats.org/officeDocument/2006/customXml" ds:itemID="{793A2418-0614-48B2-B617-16801D87B6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94ADA27-1537-4656-A51E-1384DEAF24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7a0a78-c662-489a-a42d-81f23886f4eb"/>
    <ds:schemaRef ds:uri="fe099af9-4df4-4c72-862e-0670d0c79e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Francisca Mendoza</dc:creator>
  <cp:lastModifiedBy>Erick Lope Herrera</cp:lastModifiedBy>
  <dcterms:created xsi:type="dcterms:W3CDTF">2025-07-29T22:28:35Z</dcterms:created>
  <dcterms:modified xsi:type="dcterms:W3CDTF">2026-06-03T14:59:52Z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0x010100517227BB80B00B4BBA2935454461B6BD</vt:lpwstr>
  </property>
  <property fmtid="{D5CDD505-2E9C-101B-9397-08002B2CF9AE}" pid="3" name="Order">
    <vt:r8>3626400</vt:r8>
  </property>
  <property fmtid="{D5CDD505-2E9C-101B-9397-08002B2CF9AE}" pid="4" name="MediaServiceImageTags">
    <vt:lpwstr/>
  </property>
</Properties>
</file>